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anshi\Downloads\"/>
    </mc:Choice>
  </mc:AlternateContent>
  <xr:revisionPtr revIDLastSave="0" documentId="13_ncr:1_{2024545A-A157-4B7F-B168-BC8A3C4117E1}" xr6:coauthVersionLast="47" xr6:coauthVersionMax="47" xr10:uidLastSave="{00000000-0000-0000-0000-000000000000}"/>
  <bookViews>
    <workbookView xWindow="-108" yWindow="-108" windowWidth="23256" windowHeight="12456" activeTab="2" xr2:uid="{00000000-000D-0000-FFFF-FFFF00000000}"/>
  </bookViews>
  <sheets>
    <sheet name="Expense - 2018" sheetId="1" r:id="rId1"/>
    <sheet name="ANALYSIS" sheetId="2" r:id="rId2"/>
    <sheet name="CHARTS" sheetId="3" r:id="rId3"/>
  </sheets>
  <calcPr calcId="191028"/>
  <pivotCaches>
    <pivotCache cacheId="3"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 i="2" l="1"/>
  <c r="I6" i="2"/>
  <c r="I7" i="2"/>
  <c r="I8" i="2"/>
  <c r="I9" i="2"/>
  <c r="I10" i="2"/>
  <c r="I11" i="2"/>
  <c r="I12" i="2"/>
  <c r="I13" i="2"/>
  <c r="I14" i="2"/>
  <c r="I4" i="2"/>
  <c r="H4" i="2"/>
  <c r="H5" i="2"/>
  <c r="H6" i="2"/>
  <c r="H7" i="2"/>
  <c r="H8" i="2"/>
  <c r="H9" i="2"/>
  <c r="H10" i="2"/>
  <c r="H11" i="2"/>
  <c r="H12" i="2"/>
  <c r="H13" i="2"/>
  <c r="H14" i="2"/>
  <c r="H3" i="2"/>
  <c r="M15" i="2"/>
  <c r="L4" i="2"/>
  <c r="L5" i="2"/>
  <c r="L6" i="2"/>
  <c r="L7" i="2"/>
  <c r="L8" i="2"/>
  <c r="L9" i="2"/>
  <c r="L10" i="2"/>
  <c r="L11" i="2"/>
  <c r="L12" i="2"/>
  <c r="L13" i="2"/>
  <c r="L14" i="2"/>
  <c r="L3" i="2"/>
  <c r="K4" i="2"/>
  <c r="K5" i="2"/>
  <c r="K6" i="2"/>
  <c r="K7" i="2"/>
  <c r="K8" i="2"/>
  <c r="K9" i="2"/>
  <c r="K10" i="2"/>
  <c r="K11" i="2"/>
  <c r="K12" i="2"/>
  <c r="K13" i="2"/>
  <c r="K14" i="2"/>
  <c r="K3" i="2"/>
  <c r="C21" i="2"/>
  <c r="D21" i="2"/>
  <c r="E21" i="2"/>
  <c r="F21" i="2"/>
  <c r="G21" i="2"/>
  <c r="B21" i="2"/>
  <c r="C20" i="2"/>
  <c r="D20" i="2"/>
  <c r="E20" i="2"/>
  <c r="F20" i="2"/>
  <c r="G20" i="2"/>
  <c r="B20" i="2"/>
  <c r="C19" i="2"/>
  <c r="D19" i="2"/>
  <c r="E19" i="2"/>
  <c r="F19" i="2"/>
  <c r="G19" i="2"/>
  <c r="B19" i="2"/>
  <c r="C18" i="2"/>
  <c r="D18" i="2"/>
  <c r="E18" i="2"/>
  <c r="F18" i="2"/>
  <c r="G18" i="2"/>
  <c r="B18" i="2"/>
  <c r="C17" i="2"/>
  <c r="D17" i="2"/>
  <c r="E17" i="2"/>
  <c r="F17" i="2"/>
  <c r="G17" i="2"/>
  <c r="B17" i="2"/>
  <c r="C15" i="2"/>
  <c r="D15" i="2"/>
  <c r="E15" i="2"/>
  <c r="F15" i="2"/>
  <c r="H15" i="2" s="1"/>
  <c r="G15" i="2"/>
  <c r="B15" i="2"/>
</calcChain>
</file>

<file path=xl/sharedStrings.xml><?xml version="1.0" encoding="utf-8"?>
<sst xmlns="http://schemas.openxmlformats.org/spreadsheetml/2006/main" count="90" uniqueCount="43">
  <si>
    <t>Month</t>
  </si>
  <si>
    <t>Housing</t>
  </si>
  <si>
    <t>Bills &amp; Utilities</t>
  </si>
  <si>
    <t>Food &amp; Dining</t>
  </si>
  <si>
    <t>Personal</t>
  </si>
  <si>
    <t>Auto &amp; Transport</t>
  </si>
  <si>
    <t>Health &amp; Fitness</t>
  </si>
  <si>
    <t>Jan</t>
  </si>
  <si>
    <t>Feb</t>
  </si>
  <si>
    <t>Sep</t>
  </si>
  <si>
    <t>Mar</t>
  </si>
  <si>
    <t>Oct</t>
  </si>
  <si>
    <t>Apr</t>
  </si>
  <si>
    <t>Nov</t>
  </si>
  <si>
    <t>May</t>
  </si>
  <si>
    <t>Jun</t>
  </si>
  <si>
    <t>Jul</t>
  </si>
  <si>
    <t>Aug</t>
  </si>
  <si>
    <t>Dec</t>
  </si>
  <si>
    <t>TOTAL</t>
  </si>
  <si>
    <t>Avg</t>
  </si>
  <si>
    <t>Min</t>
  </si>
  <si>
    <t>Max</t>
  </si>
  <si>
    <t>Count</t>
  </si>
  <si>
    <t>Median</t>
  </si>
  <si>
    <t>MAX</t>
  </si>
  <si>
    <t>MIN</t>
  </si>
  <si>
    <t>(HOUSING)</t>
  </si>
  <si>
    <t>(HEALTH &amp; FITNESS)</t>
  </si>
  <si>
    <t>Auto &amp; Transp</t>
  </si>
  <si>
    <t>EXPENSE ANALYSIS 2018</t>
  </si>
  <si>
    <t>Row Labels</t>
  </si>
  <si>
    <t>Grand Total</t>
  </si>
  <si>
    <t>Health &amp; Fitn</t>
  </si>
  <si>
    <t>Personal exp</t>
  </si>
  <si>
    <t>Bill &amp; Utilities</t>
  </si>
  <si>
    <t>Food &amp; Dinings</t>
  </si>
  <si>
    <t>Housing exp</t>
  </si>
  <si>
    <r>
      <rPr>
        <u val="double"/>
        <sz val="14"/>
        <color theme="5" tint="-0.499984740745262"/>
        <rFont val="Calibri"/>
        <family val="2"/>
        <scheme val="minor"/>
      </rPr>
      <t>CONCLUSION</t>
    </r>
    <r>
      <rPr>
        <sz val="14"/>
        <color theme="5" tint="-0.499984740745262"/>
        <rFont val="Calibri"/>
        <family val="2"/>
        <scheme val="minor"/>
      </rPr>
      <t>:</t>
    </r>
    <r>
      <rPr>
        <sz val="14"/>
        <color theme="1"/>
        <rFont val="Calibri"/>
        <family val="2"/>
        <scheme val="minor"/>
      </rPr>
      <t xml:space="preserve">                                                           FROM THE TOTAL AMOUNT IN EVERY MONTH ,HOUSING HAS THE MAXIMUM AMOUNT OF EXPENDITURE and IS CONSTANT EACH YR  WHILE HEALTH AND FITNESS HAS THE LEAST EXPENDITURE.                                          ALSO, THE EXPENDITURE OF DECEMBER MONTH IS THE HIGHEST .        DECEMBER HAS HIGHEST OVERALL EXPENDITURE WHILE JUNE   HAS THE LEAST EXPENDITURE .                                                                                                   TOTAL EXPENDITURE IN THE WHOLE YEAR 2018 WAS 19,820.   </t>
    </r>
    <r>
      <rPr>
        <sz val="11"/>
        <color theme="1"/>
        <rFont val="Calibri"/>
        <family val="2"/>
        <scheme val="minor"/>
      </rPr>
      <t xml:space="preserve">                                                                                          </t>
    </r>
  </si>
  <si>
    <r>
      <rPr>
        <u val="double"/>
        <sz val="12"/>
        <color theme="1"/>
        <rFont val="Calibri"/>
        <family val="2"/>
        <scheme val="minor"/>
      </rPr>
      <t>INFRENCE</t>
    </r>
    <r>
      <rPr>
        <sz val="12"/>
        <color theme="1"/>
        <rFont val="Calibri"/>
        <family val="2"/>
        <scheme val="minor"/>
      </rPr>
      <t xml:space="preserve">- SUMMER MONTH ESP JUNE THAT IS THE PEAK SEASON HAS THE MINIMUM EXPENDITURE COMPARED TO WINTER MONTH DECEMBER .   CONSTANT HOUSING EXP WITH VARIED AMOUNT IN OTHERS .   </t>
    </r>
  </si>
  <si>
    <t xml:space="preserve">MONTHLY EXP CHANGE </t>
  </si>
  <si>
    <t>NIL</t>
  </si>
  <si>
    <t>EXP WAS FLUCTUATING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</si>
</sst>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_-"/>
  </numFmts>
  <fonts count="12">
    <font>
      <sz val="11"/>
      <color theme="1"/>
      <name val="Calibri"/>
      <family val="2"/>
      <scheme val="minor"/>
    </font>
    <font>
      <i/>
      <sz val="10"/>
      <color theme="1"/>
      <name val="Arial"/>
      <family val="2"/>
    </font>
    <font>
      <b/>
      <sz val="11"/>
      <color theme="0"/>
      <name val="Calibri"/>
      <family val="2"/>
      <scheme val="minor"/>
    </font>
    <font>
      <sz val="11"/>
      <color theme="0"/>
      <name val="Calibri"/>
      <family val="2"/>
      <scheme val="minor"/>
    </font>
    <font>
      <b/>
      <i/>
      <sz val="10"/>
      <color theme="1"/>
      <name val="Arial"/>
      <family val="2"/>
    </font>
    <font>
      <b/>
      <sz val="10"/>
      <name val="Unset"/>
    </font>
    <font>
      <b/>
      <sz val="16"/>
      <color theme="0"/>
      <name val="Calibri"/>
      <family val="2"/>
      <scheme val="minor"/>
    </font>
    <font>
      <sz val="12"/>
      <color theme="1"/>
      <name val="Calibri"/>
      <family val="2"/>
      <scheme val="minor"/>
    </font>
    <font>
      <u val="double"/>
      <sz val="14"/>
      <color theme="5" tint="-0.499984740745262"/>
      <name val="Calibri"/>
      <family val="2"/>
      <scheme val="minor"/>
    </font>
    <font>
      <sz val="14"/>
      <color theme="5" tint="-0.499984740745262"/>
      <name val="Calibri"/>
      <family val="2"/>
      <scheme val="minor"/>
    </font>
    <font>
      <sz val="14"/>
      <color theme="1"/>
      <name val="Calibri"/>
      <family val="2"/>
      <scheme val="minor"/>
    </font>
    <font>
      <u val="double"/>
      <sz val="12"/>
      <color theme="1"/>
      <name val="Calibri"/>
      <family val="2"/>
      <scheme val="minor"/>
    </font>
  </fonts>
  <fills count="11">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39997558519241921"/>
        <bgColor theme="4" tint="0.5999938962981048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theme="9" tint="-0.499984740745262"/>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theme="0"/>
      </right>
      <top style="medium">
        <color indexed="64"/>
      </top>
      <bottom style="thick">
        <color theme="0"/>
      </bottom>
      <diagonal/>
    </border>
    <border>
      <left style="thin">
        <color theme="0"/>
      </left>
      <right style="thin">
        <color theme="0"/>
      </right>
      <top style="medium">
        <color indexed="64"/>
      </top>
      <bottom style="thick">
        <color theme="0"/>
      </bottom>
      <diagonal/>
    </border>
    <border>
      <left style="medium">
        <color indexed="64"/>
      </left>
      <right style="thin">
        <color theme="0"/>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top style="medium">
        <color indexed="64"/>
      </top>
      <bottom style="thick">
        <color theme="0"/>
      </bottom>
      <diagonal/>
    </border>
    <border>
      <left style="thin">
        <color theme="0"/>
      </left>
      <right/>
      <top style="thin">
        <color theme="0"/>
      </top>
      <bottom style="medium">
        <color indexed="64"/>
      </bottom>
      <diagonal/>
    </border>
  </borders>
  <cellStyleXfs count="1">
    <xf numFmtId="0" fontId="0" fillId="0" borderId="0"/>
  </cellStyleXfs>
  <cellXfs count="33">
    <xf numFmtId="0" fontId="0" fillId="0" borderId="0" xfId="0"/>
    <xf numFmtId="0" fontId="1" fillId="0" borderId="0" xfId="0" applyFont="1"/>
    <xf numFmtId="164" fontId="0" fillId="0" borderId="0" xfId="0" applyNumberFormat="1"/>
    <xf numFmtId="164" fontId="0" fillId="3" borderId="1" xfId="0" applyNumberFormat="1" applyFont="1" applyFill="1" applyBorder="1"/>
    <xf numFmtId="164" fontId="0" fillId="3" borderId="2" xfId="0" applyNumberFormat="1" applyFont="1" applyFill="1" applyBorder="1"/>
    <xf numFmtId="164" fontId="0" fillId="4" borderId="1" xfId="0" applyNumberFormat="1" applyFont="1" applyFill="1" applyBorder="1"/>
    <xf numFmtId="164" fontId="0" fillId="4" borderId="2" xfId="0" applyNumberFormat="1" applyFont="1" applyFill="1" applyBorder="1"/>
    <xf numFmtId="0" fontId="5" fillId="6" borderId="3" xfId="0" applyFont="1" applyFill="1" applyBorder="1" applyAlignment="1">
      <alignment vertical="top"/>
    </xf>
    <xf numFmtId="164" fontId="0" fillId="7" borderId="3" xfId="0" applyNumberFormat="1" applyFill="1" applyBorder="1"/>
    <xf numFmtId="0" fontId="0" fillId="7" borderId="3" xfId="0" applyFill="1" applyBorder="1"/>
    <xf numFmtId="164" fontId="2" fillId="2" borderId="3" xfId="0" applyNumberFormat="1" applyFont="1" applyFill="1" applyBorder="1"/>
    <xf numFmtId="0" fontId="3" fillId="8" borderId="3" xfId="0" applyFont="1" applyFill="1" applyBorder="1"/>
    <xf numFmtId="0" fontId="3" fillId="8" borderId="3" xfId="0" applyFont="1" applyFill="1" applyBorder="1" applyAlignment="1">
      <alignment wrapText="1"/>
    </xf>
    <xf numFmtId="164" fontId="3" fillId="8" borderId="3" xfId="0" applyNumberFormat="1" applyFont="1" applyFill="1" applyBorder="1" applyAlignment="1">
      <alignment wrapText="1"/>
    </xf>
    <xf numFmtId="0" fontId="2" fillId="2" borderId="4" xfId="0" applyFont="1" applyFill="1" applyBorder="1"/>
    <xf numFmtId="164" fontId="2" fillId="2" borderId="5" xfId="0" applyNumberFormat="1" applyFont="1" applyFill="1" applyBorder="1"/>
    <xf numFmtId="0" fontId="1" fillId="3" borderId="6" xfId="0" applyFont="1" applyFill="1" applyBorder="1"/>
    <xf numFmtId="0" fontId="1" fillId="4" borderId="6" xfId="0" applyFont="1" applyFill="1" applyBorder="1"/>
    <xf numFmtId="0" fontId="4" fillId="5" borderId="7" xfId="0" applyNumberFormat="1" applyFont="1" applyFill="1" applyBorder="1" applyAlignment="1"/>
    <xf numFmtId="164" fontId="0" fillId="5" borderId="8" xfId="0" applyNumberFormat="1" applyFont="1" applyFill="1" applyBorder="1" applyAlignment="1"/>
    <xf numFmtId="0" fontId="0" fillId="10" borderId="0" xfId="0" applyFill="1" applyAlignment="1">
      <alignment horizontal="center"/>
    </xf>
    <xf numFmtId="0" fontId="6" fillId="10" borderId="0" xfId="0" applyFont="1" applyFill="1" applyAlignment="1">
      <alignment horizontal="center"/>
    </xf>
    <xf numFmtId="0" fontId="0" fillId="0" borderId="0" xfId="0" pivotButton="1"/>
    <xf numFmtId="0" fontId="0" fillId="0" borderId="0" xfId="0" applyAlignment="1">
      <alignment horizontal="left"/>
    </xf>
    <xf numFmtId="0" fontId="0" fillId="9" borderId="0" xfId="0" applyFill="1" applyAlignment="1">
      <alignment horizontal="center" wrapText="1"/>
    </xf>
    <xf numFmtId="0" fontId="7" fillId="6" borderId="0" xfId="0" applyFont="1" applyFill="1" applyAlignment="1">
      <alignment horizontal="center" wrapText="1"/>
    </xf>
    <xf numFmtId="164" fontId="0" fillId="7" borderId="0" xfId="0" applyNumberFormat="1" applyFill="1" applyBorder="1"/>
    <xf numFmtId="0" fontId="0" fillId="7" borderId="0" xfId="0" applyFill="1" applyBorder="1"/>
    <xf numFmtId="164" fontId="2" fillId="2" borderId="9" xfId="0" applyNumberFormat="1" applyFont="1" applyFill="1" applyBorder="1"/>
    <xf numFmtId="164" fontId="0" fillId="5" borderId="10" xfId="0" applyNumberFormat="1" applyFont="1" applyFill="1" applyBorder="1" applyAlignment="1"/>
    <xf numFmtId="164" fontId="0" fillId="5" borderId="3" xfId="0" applyNumberFormat="1" applyFont="1" applyFill="1" applyBorder="1" applyAlignment="1"/>
    <xf numFmtId="164" fontId="2" fillId="2" borderId="0" xfId="0" applyNumberFormat="1" applyFont="1" applyFill="1" applyBorder="1" applyAlignment="1">
      <alignment wrapText="1"/>
    </xf>
    <xf numFmtId="164" fontId="0" fillId="5" borderId="0" xfId="0" applyNumberFormat="1" applyFont="1" applyFill="1" applyBorder="1" applyAlignment="1">
      <alignment wrapText="1"/>
    </xf>
  </cellXfs>
  <cellStyles count="1">
    <cellStyle name="Normal" xfId="0" builtinId="0"/>
  </cellStyles>
  <dxfs count="16">
    <dxf>
      <font>
        <color rgb="FF9C0006"/>
      </font>
      <fill>
        <patternFill>
          <bgColor rgb="FFFFC7CE"/>
        </patternFill>
      </fill>
    </dxf>
    <dxf>
      <font>
        <b val="0"/>
        <i/>
        <strike val="0"/>
        <condense val="0"/>
        <extend val="0"/>
        <outline val="0"/>
        <shadow val="0"/>
        <u val="none"/>
        <vertAlign val="baseline"/>
        <sz val="10"/>
        <color theme="1"/>
        <name val="Arial"/>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4" formatCode="_-[$£-809]* #,##0.00_-;\-[$£-809]* #,##0.00_-;_-[$£-809]* &quot;-&quot;??_-;_-@_-"/>
      <fill>
        <patternFill patternType="none">
          <fgColor indexed="64"/>
          <bgColor indexed="65"/>
        </patternFill>
      </fill>
      <alignment horizontal="general" vertical="bottom" textRotation="0" wrapText="0" indent="0" justifyLastLine="0" shrinkToFit="0" readingOrder="0"/>
      <protection locked="1" hidden="0"/>
    </dxf>
    <dxf>
      <font>
        <b val="0"/>
        <i/>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 PER</a:t>
            </a:r>
            <a:r>
              <a:rPr lang="en-US" baseline="0"/>
              <a:t> MONTH EXPENSE</a:t>
            </a:r>
            <a:r>
              <a:rPr lang="en-US"/>
              <a:t>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CHARTS!$B$1</c:f>
              <c:strCache>
                <c:ptCount val="1"/>
                <c:pt idx="0">
                  <c:v> TOTAL </c:v>
                </c:pt>
              </c:strCache>
            </c:strRef>
          </c:tx>
          <c:spPr>
            <a:ln w="38100" cap="rnd">
              <a:solidFill>
                <a:schemeClr val="accent1"/>
              </a:solidFill>
              <a:round/>
            </a:ln>
            <a:effectLst/>
          </c:spPr>
          <c:marker>
            <c:symbol val="none"/>
          </c:marker>
          <c:cat>
            <c:strRef>
              <c:f>CHARTS!$A$2:$A$13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CHARTS!$B$2:$B$13</c:f>
              <c:numCache>
                <c:formatCode>_-[$£-809]* #,##0.00_-;\-[$£-809]* #,##0.00_-;_-[$£-809]* "-"??_-;_-@_-</c:formatCode>
                <c:ptCount val="12"/>
                <c:pt idx="0">
                  <c:v>1670</c:v>
                </c:pt>
                <c:pt idx="1">
                  <c:v>1625</c:v>
                </c:pt>
                <c:pt idx="2">
                  <c:v>1670</c:v>
                </c:pt>
                <c:pt idx="3">
                  <c:v>1640</c:v>
                </c:pt>
                <c:pt idx="4">
                  <c:v>1650</c:v>
                </c:pt>
                <c:pt idx="5">
                  <c:v>1620</c:v>
                </c:pt>
                <c:pt idx="6">
                  <c:v>1650</c:v>
                </c:pt>
                <c:pt idx="7">
                  <c:v>1650</c:v>
                </c:pt>
                <c:pt idx="8">
                  <c:v>1640</c:v>
                </c:pt>
                <c:pt idx="9">
                  <c:v>1650</c:v>
                </c:pt>
                <c:pt idx="10">
                  <c:v>1660</c:v>
                </c:pt>
                <c:pt idx="11">
                  <c:v>1695</c:v>
                </c:pt>
              </c:numCache>
            </c:numRef>
          </c:val>
          <c:smooth val="0"/>
          <c:extLst>
            <c:ext xmlns:c16="http://schemas.microsoft.com/office/drawing/2014/chart" uri="{C3380CC4-5D6E-409C-BE32-E72D297353CC}">
              <c16:uniqueId val="{00000000-0357-4F52-A069-84A148566592}"/>
            </c:ext>
          </c:extLst>
        </c:ser>
        <c:dLbls>
          <c:showLegendKey val="0"/>
          <c:showVal val="0"/>
          <c:showCatName val="0"/>
          <c:showSerName val="0"/>
          <c:showPercent val="0"/>
          <c:showBubbleSize val="0"/>
        </c:dLbls>
        <c:smooth val="0"/>
        <c:axId val="903794592"/>
        <c:axId val="903791712"/>
      </c:lineChart>
      <c:catAx>
        <c:axId val="90379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03791712"/>
        <c:crosses val="autoZero"/>
        <c:auto val="1"/>
        <c:lblAlgn val="ctr"/>
        <c:lblOffset val="100"/>
        <c:noMultiLvlLbl val="0"/>
      </c:catAx>
      <c:valAx>
        <c:axId val="9037917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79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[Personal_Monthly_Expenditure_Lab4.xlsx]CHARTS!PivotTable2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CHARTS!$E$1</c:f>
              <c:strCache>
                <c:ptCount val="1"/>
                <c:pt idx="0">
                  <c:v>Housing exp</c:v>
                </c:pt>
              </c:strCache>
            </c:strRef>
          </c:tx>
          <c:spPr>
            <a:ln w="28575" cap="rnd">
              <a:solidFill>
                <a:schemeClr val="accent1"/>
              </a:solidFill>
              <a:round/>
            </a:ln>
            <a:effectLst/>
          </c:spPr>
          <c:marker>
            <c:symbol val="none"/>
          </c:marker>
          <c:cat>
            <c:strRef>
              <c:f>CHARTS!$D$2:$D$14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CHARTS!$E$2:$E$14</c:f>
              <c:numCache>
                <c:formatCode>_-[$£-809]* #,##0.00_-;\-[$£-809]* #,##0.00_-;_-[$£-809]* "-"??_-;_-@_-</c:formatCode>
                <c:ptCount val="12"/>
                <c:pt idx="0">
                  <c:v>800</c:v>
                </c:pt>
                <c:pt idx="1">
                  <c:v>800</c:v>
                </c:pt>
                <c:pt idx="2">
                  <c:v>800</c:v>
                </c:pt>
                <c:pt idx="3">
                  <c:v>800</c:v>
                </c:pt>
                <c:pt idx="4">
                  <c:v>800</c:v>
                </c:pt>
                <c:pt idx="5">
                  <c:v>800</c:v>
                </c:pt>
                <c:pt idx="6">
                  <c:v>800</c:v>
                </c:pt>
                <c:pt idx="7">
                  <c:v>800</c:v>
                </c:pt>
                <c:pt idx="8">
                  <c:v>800</c:v>
                </c:pt>
                <c:pt idx="9">
                  <c:v>800</c:v>
                </c:pt>
                <c:pt idx="10">
                  <c:v>800</c:v>
                </c:pt>
                <c:pt idx="11">
                  <c:v>800</c:v>
                </c:pt>
              </c:numCache>
            </c:numRef>
          </c:val>
          <c:smooth val="0"/>
          <c:extLst>
            <c:ext xmlns:c16="http://schemas.microsoft.com/office/drawing/2014/chart" uri="{C3380CC4-5D6E-409C-BE32-E72D297353CC}">
              <c16:uniqueId val="{00000000-DCD2-4395-8379-2F40BF7E9087}"/>
            </c:ext>
          </c:extLst>
        </c:ser>
        <c:ser>
          <c:idx val="1"/>
          <c:order val="1"/>
          <c:tx>
            <c:strRef>
              <c:f>CHARTS!$F$1</c:f>
              <c:strCache>
                <c:ptCount val="1"/>
                <c:pt idx="0">
                  <c:v>Food &amp; Dinings</c:v>
                </c:pt>
              </c:strCache>
            </c:strRef>
          </c:tx>
          <c:spPr>
            <a:ln w="28575" cap="rnd">
              <a:solidFill>
                <a:schemeClr val="accent2"/>
              </a:solidFill>
              <a:round/>
            </a:ln>
            <a:effectLst/>
          </c:spPr>
          <c:marker>
            <c:symbol val="none"/>
          </c:marker>
          <c:cat>
            <c:strRef>
              <c:f>CHARTS!$D$2:$D$14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CHARTS!$F$2:$F$14</c:f>
              <c:numCache>
                <c:formatCode>_-[$£-809]* #,##0.00_-;\-[$£-809]* #,##0.00_-;_-[$£-809]* "-"??_-;_-@_-</c:formatCode>
                <c:ptCount val="12"/>
                <c:pt idx="0">
                  <c:v>400</c:v>
                </c:pt>
                <c:pt idx="1">
                  <c:v>350</c:v>
                </c:pt>
                <c:pt idx="2">
                  <c:v>420</c:v>
                </c:pt>
                <c:pt idx="3">
                  <c:v>400</c:v>
                </c:pt>
                <c:pt idx="4">
                  <c:v>420</c:v>
                </c:pt>
                <c:pt idx="5">
                  <c:v>380</c:v>
                </c:pt>
                <c:pt idx="6">
                  <c:v>420</c:v>
                </c:pt>
                <c:pt idx="7">
                  <c:v>420</c:v>
                </c:pt>
                <c:pt idx="8">
                  <c:v>400</c:v>
                </c:pt>
                <c:pt idx="9">
                  <c:v>420</c:v>
                </c:pt>
                <c:pt idx="10">
                  <c:v>390</c:v>
                </c:pt>
                <c:pt idx="11">
                  <c:v>400</c:v>
                </c:pt>
              </c:numCache>
            </c:numRef>
          </c:val>
          <c:smooth val="0"/>
          <c:extLst>
            <c:ext xmlns:c16="http://schemas.microsoft.com/office/drawing/2014/chart" uri="{C3380CC4-5D6E-409C-BE32-E72D297353CC}">
              <c16:uniqueId val="{00000001-DCD2-4395-8379-2F40BF7E9087}"/>
            </c:ext>
          </c:extLst>
        </c:ser>
        <c:ser>
          <c:idx val="2"/>
          <c:order val="2"/>
          <c:tx>
            <c:strRef>
              <c:f>CHARTS!$G$1</c:f>
              <c:strCache>
                <c:ptCount val="1"/>
                <c:pt idx="0">
                  <c:v>Bill &amp; Utilities</c:v>
                </c:pt>
              </c:strCache>
            </c:strRef>
          </c:tx>
          <c:spPr>
            <a:ln w="28575" cap="rnd">
              <a:solidFill>
                <a:schemeClr val="accent3"/>
              </a:solidFill>
              <a:round/>
            </a:ln>
            <a:effectLst/>
          </c:spPr>
          <c:marker>
            <c:symbol val="none"/>
          </c:marker>
          <c:cat>
            <c:strRef>
              <c:f>CHARTS!$D$2:$D$14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CHARTS!$G$2:$G$14</c:f>
              <c:numCache>
                <c:formatCode>_-[$£-809]* #,##0.00_-;\-[$£-809]* #,##0.00_-;_-[$£-809]* "-"??_-;_-@_-</c:formatCode>
                <c:ptCount val="12"/>
                <c:pt idx="0">
                  <c:v>210</c:v>
                </c:pt>
                <c:pt idx="1">
                  <c:v>180</c:v>
                </c:pt>
                <c:pt idx="2">
                  <c:v>170</c:v>
                </c:pt>
                <c:pt idx="3">
                  <c:v>160</c:v>
                </c:pt>
                <c:pt idx="4">
                  <c:v>150</c:v>
                </c:pt>
                <c:pt idx="5">
                  <c:v>150</c:v>
                </c:pt>
                <c:pt idx="6">
                  <c:v>150</c:v>
                </c:pt>
                <c:pt idx="7">
                  <c:v>150</c:v>
                </c:pt>
                <c:pt idx="8">
                  <c:v>150</c:v>
                </c:pt>
                <c:pt idx="9">
                  <c:v>170</c:v>
                </c:pt>
                <c:pt idx="10">
                  <c:v>200</c:v>
                </c:pt>
                <c:pt idx="11">
                  <c:v>220</c:v>
                </c:pt>
              </c:numCache>
            </c:numRef>
          </c:val>
          <c:smooth val="0"/>
          <c:extLst>
            <c:ext xmlns:c16="http://schemas.microsoft.com/office/drawing/2014/chart" uri="{C3380CC4-5D6E-409C-BE32-E72D297353CC}">
              <c16:uniqueId val="{00000002-DCD2-4395-8379-2F40BF7E9087}"/>
            </c:ext>
          </c:extLst>
        </c:ser>
        <c:ser>
          <c:idx val="3"/>
          <c:order val="3"/>
          <c:tx>
            <c:strRef>
              <c:f>CHARTS!$H$1</c:f>
              <c:strCache>
                <c:ptCount val="1"/>
                <c:pt idx="0">
                  <c:v>Personal exp</c:v>
                </c:pt>
              </c:strCache>
            </c:strRef>
          </c:tx>
          <c:spPr>
            <a:ln w="28575" cap="rnd">
              <a:solidFill>
                <a:schemeClr val="accent4"/>
              </a:solidFill>
              <a:round/>
            </a:ln>
            <a:effectLst/>
          </c:spPr>
          <c:marker>
            <c:symbol val="none"/>
          </c:marker>
          <c:cat>
            <c:strRef>
              <c:f>CHARTS!$D$2:$D$14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CHARTS!$H$2:$H$14</c:f>
              <c:numCache>
                <c:formatCode>_-[$£-809]* #,##0.00_-;\-[$£-809]* #,##0.00_-;_-[$£-809]* "-"??_-;_-@_-</c:formatCode>
                <c:ptCount val="12"/>
                <c:pt idx="0">
                  <c:v>100</c:v>
                </c:pt>
                <c:pt idx="1">
                  <c:v>100</c:v>
                </c:pt>
                <c:pt idx="2">
                  <c:v>100</c:v>
                </c:pt>
                <c:pt idx="3">
                  <c:v>120</c:v>
                </c:pt>
                <c:pt idx="4">
                  <c:v>100</c:v>
                </c:pt>
                <c:pt idx="5">
                  <c:v>100</c:v>
                </c:pt>
                <c:pt idx="6">
                  <c:v>120</c:v>
                </c:pt>
                <c:pt idx="7">
                  <c:v>100</c:v>
                </c:pt>
                <c:pt idx="8">
                  <c:v>120</c:v>
                </c:pt>
                <c:pt idx="9">
                  <c:v>100</c:v>
                </c:pt>
                <c:pt idx="10">
                  <c:v>120</c:v>
                </c:pt>
                <c:pt idx="11">
                  <c:v>100</c:v>
                </c:pt>
              </c:numCache>
            </c:numRef>
          </c:val>
          <c:smooth val="0"/>
          <c:extLst>
            <c:ext xmlns:c16="http://schemas.microsoft.com/office/drawing/2014/chart" uri="{C3380CC4-5D6E-409C-BE32-E72D297353CC}">
              <c16:uniqueId val="{00000003-DCD2-4395-8379-2F40BF7E9087}"/>
            </c:ext>
          </c:extLst>
        </c:ser>
        <c:ser>
          <c:idx val="4"/>
          <c:order val="4"/>
          <c:tx>
            <c:strRef>
              <c:f>CHARTS!$I$1</c:f>
              <c:strCache>
                <c:ptCount val="1"/>
                <c:pt idx="0">
                  <c:v>Auto &amp; Transport</c:v>
                </c:pt>
              </c:strCache>
            </c:strRef>
          </c:tx>
          <c:spPr>
            <a:ln w="28575" cap="rnd">
              <a:solidFill>
                <a:schemeClr val="accent5"/>
              </a:solidFill>
              <a:round/>
            </a:ln>
            <a:effectLst/>
          </c:spPr>
          <c:marker>
            <c:symbol val="none"/>
          </c:marker>
          <c:cat>
            <c:strRef>
              <c:f>CHARTS!$D$2:$D$14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CHARTS!$I$2:$I$14</c:f>
              <c:numCache>
                <c:formatCode>_-[$£-809]* #,##0.00_-;\-[$£-809]* #,##0.00_-;_-[$£-809]* "-"??_-;_-@_-</c:formatCode>
                <c:ptCount val="12"/>
                <c:pt idx="0">
                  <c:v>100</c:v>
                </c:pt>
                <c:pt idx="1">
                  <c:v>125</c:v>
                </c:pt>
                <c:pt idx="2">
                  <c:v>120</c:v>
                </c:pt>
                <c:pt idx="3">
                  <c:v>100</c:v>
                </c:pt>
                <c:pt idx="4">
                  <c:v>100</c:v>
                </c:pt>
                <c:pt idx="5">
                  <c:v>130</c:v>
                </c:pt>
                <c:pt idx="6">
                  <c:v>100</c:v>
                </c:pt>
                <c:pt idx="7">
                  <c:v>100</c:v>
                </c:pt>
                <c:pt idx="8">
                  <c:v>110</c:v>
                </c:pt>
                <c:pt idx="9">
                  <c:v>100</c:v>
                </c:pt>
                <c:pt idx="10">
                  <c:v>100</c:v>
                </c:pt>
                <c:pt idx="11">
                  <c:v>115</c:v>
                </c:pt>
              </c:numCache>
            </c:numRef>
          </c:val>
          <c:smooth val="0"/>
          <c:extLst>
            <c:ext xmlns:c16="http://schemas.microsoft.com/office/drawing/2014/chart" uri="{C3380CC4-5D6E-409C-BE32-E72D297353CC}">
              <c16:uniqueId val="{00000004-DCD2-4395-8379-2F40BF7E9087}"/>
            </c:ext>
          </c:extLst>
        </c:ser>
        <c:ser>
          <c:idx val="5"/>
          <c:order val="5"/>
          <c:tx>
            <c:strRef>
              <c:f>CHARTS!$J$1</c:f>
              <c:strCache>
                <c:ptCount val="1"/>
                <c:pt idx="0">
                  <c:v>Health &amp; Fitn</c:v>
                </c:pt>
              </c:strCache>
            </c:strRef>
          </c:tx>
          <c:spPr>
            <a:ln w="28575" cap="rnd">
              <a:solidFill>
                <a:schemeClr val="accent6"/>
              </a:solidFill>
              <a:round/>
            </a:ln>
            <a:effectLst/>
          </c:spPr>
          <c:marker>
            <c:symbol val="none"/>
          </c:marker>
          <c:cat>
            <c:strRef>
              <c:f>CHARTS!$D$2:$D$14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CHARTS!$J$2:$J$14</c:f>
              <c:numCache>
                <c:formatCode>_-[$£-809]* #,##0.00_-;\-[$£-809]* #,##0.00_-;_-[$£-809]* "-"??_-;_-@_-</c:formatCode>
                <c:ptCount val="12"/>
                <c:pt idx="0">
                  <c:v>60</c:v>
                </c:pt>
                <c:pt idx="1">
                  <c:v>70</c:v>
                </c:pt>
                <c:pt idx="2">
                  <c:v>60</c:v>
                </c:pt>
                <c:pt idx="3">
                  <c:v>60</c:v>
                </c:pt>
                <c:pt idx="4">
                  <c:v>80</c:v>
                </c:pt>
                <c:pt idx="5">
                  <c:v>60</c:v>
                </c:pt>
                <c:pt idx="6">
                  <c:v>60</c:v>
                </c:pt>
                <c:pt idx="7">
                  <c:v>80</c:v>
                </c:pt>
                <c:pt idx="8">
                  <c:v>60</c:v>
                </c:pt>
                <c:pt idx="9">
                  <c:v>60</c:v>
                </c:pt>
                <c:pt idx="10">
                  <c:v>50</c:v>
                </c:pt>
                <c:pt idx="11">
                  <c:v>60</c:v>
                </c:pt>
              </c:numCache>
            </c:numRef>
          </c:val>
          <c:smooth val="0"/>
          <c:extLst>
            <c:ext xmlns:c16="http://schemas.microsoft.com/office/drawing/2014/chart" uri="{C3380CC4-5D6E-409C-BE32-E72D297353CC}">
              <c16:uniqueId val="{00000005-DCD2-4395-8379-2F40BF7E9087}"/>
            </c:ext>
          </c:extLst>
        </c:ser>
        <c:dLbls>
          <c:showLegendKey val="0"/>
          <c:showVal val="0"/>
          <c:showCatName val="0"/>
          <c:showSerName val="0"/>
          <c:showPercent val="0"/>
          <c:showBubbleSize val="0"/>
        </c:dLbls>
        <c:smooth val="0"/>
        <c:axId val="903753312"/>
        <c:axId val="903737952"/>
      </c:lineChart>
      <c:catAx>
        <c:axId val="9037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737952"/>
        <c:crosses val="autoZero"/>
        <c:auto val="1"/>
        <c:lblAlgn val="ctr"/>
        <c:lblOffset val="100"/>
        <c:noMultiLvlLbl val="0"/>
      </c:catAx>
      <c:valAx>
        <c:axId val="903737952"/>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75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52917</xdr:rowOff>
    </xdr:from>
    <xdr:to>
      <xdr:col>3</xdr:col>
      <xdr:colOff>148167</xdr:colOff>
      <xdr:row>32</xdr:row>
      <xdr:rowOff>74083</xdr:rowOff>
    </xdr:to>
    <xdr:graphicFrame macro="">
      <xdr:nvGraphicFramePr>
        <xdr:cNvPr id="2" name="Chart 1">
          <a:extLst>
            <a:ext uri="{FF2B5EF4-FFF2-40B4-BE49-F238E27FC236}">
              <a16:creationId xmlns:a16="http://schemas.microsoft.com/office/drawing/2014/main" id="{E189F249-5CE5-0698-5E9C-2B8BE3246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423333</xdr:colOff>
      <xdr:row>14</xdr:row>
      <xdr:rowOff>74083</xdr:rowOff>
    </xdr:from>
    <xdr:to>
      <xdr:col>10</xdr:col>
      <xdr:colOff>10584</xdr:colOff>
      <xdr:row>32</xdr:row>
      <xdr:rowOff>75126</xdr:rowOff>
    </xdr:to>
    <xdr:graphicFrame macro="">
      <xdr:nvGraphicFramePr>
        <xdr:cNvPr id="4" name="Chart 3">
          <a:extLst>
            <a:ext uri="{FF2B5EF4-FFF2-40B4-BE49-F238E27FC236}">
              <a16:creationId xmlns:a16="http://schemas.microsoft.com/office/drawing/2014/main" id="{448B2503-EEF7-83B2-CBD9-864E2BAF7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mple singla" refreshedDate="46198.653984722223" createdVersion="8" refreshedVersion="8" minRefreshableVersion="3" recordCount="12" xr:uid="{5A7B4203-F581-45B4-A4F0-4C9EF0006939}">
  <cacheSource type="worksheet">
    <worksheetSource ref="A2:G14" sheet="ANALYSIS"/>
  </cacheSource>
  <cacheFields count="7">
    <cacheField name="Month" numFmtId="0">
      <sharedItems count="12">
        <s v="Jan"/>
        <s v="Feb"/>
        <s v="Mar"/>
        <s v="Apr"/>
        <s v="May"/>
        <s v="Jun"/>
        <s v="Jul"/>
        <s v="Aug"/>
        <s v="Sep"/>
        <s v="Oct"/>
        <s v="Nov"/>
        <s v="Dec"/>
      </sharedItems>
    </cacheField>
    <cacheField name="Housing" numFmtId="164">
      <sharedItems containsSemiMixedTypes="0" containsString="0" containsNumber="1" containsInteger="1" minValue="800" maxValue="800"/>
    </cacheField>
    <cacheField name="Bills &amp; Utilities" numFmtId="164">
      <sharedItems containsSemiMixedTypes="0" containsString="0" containsNumber="1" containsInteger="1" minValue="150" maxValue="220"/>
    </cacheField>
    <cacheField name="Food &amp; Dining" numFmtId="164">
      <sharedItems containsSemiMixedTypes="0" containsString="0" containsNumber="1" containsInteger="1" minValue="350" maxValue="420"/>
    </cacheField>
    <cacheField name="Personal" numFmtId="164">
      <sharedItems containsSemiMixedTypes="0" containsString="0" containsNumber="1" containsInteger="1" minValue="100" maxValue="120"/>
    </cacheField>
    <cacheField name="Auto &amp; Transp" numFmtId="164">
      <sharedItems containsSemiMixedTypes="0" containsString="0" containsNumber="1" containsInteger="1" minValue="100" maxValue="130"/>
    </cacheField>
    <cacheField name="Health &amp; Fitness" numFmtId="164">
      <sharedItems containsSemiMixedTypes="0" containsString="0" containsNumber="1" containsInteger="1" minValue="50" maxValue="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800"/>
    <n v="210"/>
    <n v="400"/>
    <n v="100"/>
    <n v="100"/>
    <n v="60"/>
  </r>
  <r>
    <x v="1"/>
    <n v="800"/>
    <n v="180"/>
    <n v="350"/>
    <n v="100"/>
    <n v="125"/>
    <n v="70"/>
  </r>
  <r>
    <x v="2"/>
    <n v="800"/>
    <n v="170"/>
    <n v="420"/>
    <n v="100"/>
    <n v="120"/>
    <n v="60"/>
  </r>
  <r>
    <x v="3"/>
    <n v="800"/>
    <n v="160"/>
    <n v="400"/>
    <n v="120"/>
    <n v="100"/>
    <n v="60"/>
  </r>
  <r>
    <x v="4"/>
    <n v="800"/>
    <n v="150"/>
    <n v="420"/>
    <n v="100"/>
    <n v="100"/>
    <n v="80"/>
  </r>
  <r>
    <x v="5"/>
    <n v="800"/>
    <n v="150"/>
    <n v="380"/>
    <n v="100"/>
    <n v="130"/>
    <n v="60"/>
  </r>
  <r>
    <x v="6"/>
    <n v="800"/>
    <n v="150"/>
    <n v="420"/>
    <n v="120"/>
    <n v="100"/>
    <n v="60"/>
  </r>
  <r>
    <x v="7"/>
    <n v="800"/>
    <n v="150"/>
    <n v="420"/>
    <n v="100"/>
    <n v="100"/>
    <n v="80"/>
  </r>
  <r>
    <x v="8"/>
    <n v="800"/>
    <n v="150"/>
    <n v="400"/>
    <n v="120"/>
    <n v="110"/>
    <n v="60"/>
  </r>
  <r>
    <x v="9"/>
    <n v="800"/>
    <n v="170"/>
    <n v="420"/>
    <n v="100"/>
    <n v="100"/>
    <n v="60"/>
  </r>
  <r>
    <x v="10"/>
    <n v="800"/>
    <n v="200"/>
    <n v="390"/>
    <n v="120"/>
    <n v="100"/>
    <n v="50"/>
  </r>
  <r>
    <x v="11"/>
    <n v="800"/>
    <n v="220"/>
    <n v="400"/>
    <n v="100"/>
    <n v="115"/>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FAE21-C078-4A8E-B652-283D33CA41D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J14" firstHeaderRow="0" firstDataRow="1" firstDataCol="1"/>
  <pivotFields count="7">
    <pivotField axis="axisRow" showAll="0">
      <items count="13">
        <item x="0"/>
        <item x="1"/>
        <item x="2"/>
        <item x="3"/>
        <item x="4"/>
        <item x="5"/>
        <item x="6"/>
        <item x="7"/>
        <item x="8"/>
        <item x="9"/>
        <item x="10"/>
        <item x="11"/>
        <item t="default"/>
      </items>
    </pivotField>
    <pivotField dataField="1" numFmtId="164" showAll="0"/>
    <pivotField dataField="1" numFmtId="164" showAll="0"/>
    <pivotField dataField="1" numFmtId="164" showAll="0"/>
    <pivotField dataField="1" numFmtId="164" showAll="0"/>
    <pivotField dataField="1" numFmtId="164" showAll="0"/>
    <pivotField dataField="1" numFmtId="164" showAll="0"/>
  </pivotFields>
  <rowFields count="1">
    <field x="0"/>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Housing exp" fld="1" baseField="0" baseItem="0" numFmtId="164"/>
    <dataField name="Food &amp; Dinings" fld="3" baseField="0" baseItem="0" numFmtId="164"/>
    <dataField name="Bill &amp; Utilities" fld="2" baseField="0" baseItem="0" numFmtId="164"/>
    <dataField name="Personal exp" fld="4" baseField="0" baseItem="0" numFmtId="164"/>
    <dataField name="Auto &amp; Transport" fld="5" baseField="0" baseItem="0" numFmtId="164"/>
    <dataField name="Health &amp; Fitn" fld="6"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075690-6493-4B96-8D1B-B29AB2D9E9A9}" name="Table6" displayName="Table6" ref="A1:G13" totalsRowShown="0" headerRowDxfId="15" dataDxfId="14">
  <autoFilter ref="A1:G13" xr:uid="{1C96BD00-98D9-4572-8F4A-F406BBA95AE3}"/>
  <tableColumns count="7">
    <tableColumn id="1" xr3:uid="{0738465F-87B9-46AD-8314-585AF20E321C}" name="Month" dataDxfId="13"/>
    <tableColumn id="2" xr3:uid="{639B5A90-C646-4312-A12B-90EBA415C5F3}" name="Housing" dataDxfId="12" totalsRowDxfId="11"/>
    <tableColumn id="3" xr3:uid="{AC863E34-6694-4292-A7E8-5D94B1D4B90E}" name="Bills &amp; Utilities" dataDxfId="10" totalsRowDxfId="9"/>
    <tableColumn id="4" xr3:uid="{7F96B093-000D-47C8-9B3D-9C6DC794A7DD}" name="Food &amp; Dining" dataDxfId="8" totalsRowDxfId="7"/>
    <tableColumn id="5" xr3:uid="{0D73BCA8-FF88-432A-8438-8D3C42615074}" name="Personal" dataDxfId="6" totalsRowDxfId="5"/>
    <tableColumn id="6" xr3:uid="{62ECB4B2-7FAC-4168-96E6-6A3296B9F2CB}" name="Auto &amp; Transport" dataDxfId="4" totalsRowDxfId="3"/>
    <tableColumn id="7" xr3:uid="{5C8E2143-EA5D-49A7-8A33-6E4F45D73494}" name="Health &amp; Fitness" dataDxfId="2" totalsRow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zoomScale="113" workbookViewId="0">
      <selection activeCell="A23" sqref="A23"/>
    </sheetView>
  </sheetViews>
  <sheetFormatPr defaultColWidth="8.77734375" defaultRowHeight="14.4"/>
  <cols>
    <col min="1" max="1" width="9.44140625" bestFit="1" customWidth="1"/>
    <col min="2" max="2" width="11.44140625" style="2" bestFit="1" customWidth="1"/>
    <col min="3" max="3" width="17.6640625" style="2" bestFit="1" customWidth="1"/>
    <col min="4" max="4" width="17" style="2" bestFit="1" customWidth="1"/>
    <col min="5" max="5" width="12" style="2" bestFit="1" customWidth="1"/>
    <col min="6" max="6" width="19.6640625" style="2" bestFit="1" customWidth="1"/>
    <col min="7" max="7" width="19" style="2" bestFit="1" customWidth="1"/>
  </cols>
  <sheetData>
    <row r="1" spans="1:7">
      <c r="A1" t="s">
        <v>0</v>
      </c>
      <c r="B1" s="2" t="s">
        <v>1</v>
      </c>
      <c r="C1" s="2" t="s">
        <v>2</v>
      </c>
      <c r="D1" s="2" t="s">
        <v>3</v>
      </c>
      <c r="E1" s="2" t="s">
        <v>4</v>
      </c>
      <c r="F1" s="2" t="s">
        <v>5</v>
      </c>
      <c r="G1" s="2" t="s">
        <v>6</v>
      </c>
    </row>
    <row r="2" spans="1:7">
      <c r="A2" s="1" t="s">
        <v>7</v>
      </c>
      <c r="B2" s="2">
        <v>800</v>
      </c>
      <c r="C2" s="2">
        <v>210</v>
      </c>
      <c r="D2" s="2">
        <v>400</v>
      </c>
      <c r="E2" s="2">
        <v>100</v>
      </c>
      <c r="F2" s="2">
        <v>100</v>
      </c>
      <c r="G2" s="2">
        <v>60</v>
      </c>
    </row>
    <row r="3" spans="1:7">
      <c r="A3" s="1" t="s">
        <v>8</v>
      </c>
      <c r="B3" s="2">
        <v>800</v>
      </c>
      <c r="C3" s="2">
        <v>180</v>
      </c>
      <c r="D3" s="2">
        <v>350</v>
      </c>
      <c r="E3" s="2">
        <v>100</v>
      </c>
      <c r="F3" s="2">
        <v>125</v>
      </c>
      <c r="G3" s="2">
        <v>70</v>
      </c>
    </row>
    <row r="4" spans="1:7">
      <c r="A4" s="1" t="s">
        <v>10</v>
      </c>
      <c r="B4" s="2">
        <v>800</v>
      </c>
      <c r="C4" s="2">
        <v>170</v>
      </c>
      <c r="D4" s="2">
        <v>420</v>
      </c>
      <c r="E4" s="2">
        <v>100</v>
      </c>
      <c r="F4" s="2">
        <v>120</v>
      </c>
      <c r="G4" s="2">
        <v>60</v>
      </c>
    </row>
    <row r="5" spans="1:7">
      <c r="A5" s="1" t="s">
        <v>12</v>
      </c>
      <c r="B5" s="2">
        <v>800</v>
      </c>
      <c r="C5" s="2">
        <v>160</v>
      </c>
      <c r="D5" s="2">
        <v>400</v>
      </c>
      <c r="E5" s="2">
        <v>120</v>
      </c>
      <c r="F5" s="2">
        <v>100</v>
      </c>
      <c r="G5" s="2">
        <v>60</v>
      </c>
    </row>
    <row r="6" spans="1:7">
      <c r="A6" s="1" t="s">
        <v>14</v>
      </c>
      <c r="B6" s="2">
        <v>800</v>
      </c>
      <c r="C6" s="2">
        <v>150</v>
      </c>
      <c r="D6" s="2">
        <v>420</v>
      </c>
      <c r="E6" s="2">
        <v>100</v>
      </c>
      <c r="F6" s="2">
        <v>100</v>
      </c>
      <c r="G6" s="2">
        <v>80</v>
      </c>
    </row>
    <row r="7" spans="1:7">
      <c r="A7" s="1" t="s">
        <v>15</v>
      </c>
      <c r="B7" s="2">
        <v>800</v>
      </c>
      <c r="C7" s="2">
        <v>150</v>
      </c>
      <c r="D7" s="2">
        <v>380</v>
      </c>
      <c r="E7" s="2">
        <v>100</v>
      </c>
      <c r="F7" s="2">
        <v>130</v>
      </c>
      <c r="G7" s="2">
        <v>60</v>
      </c>
    </row>
    <row r="8" spans="1:7">
      <c r="A8" s="1" t="s">
        <v>16</v>
      </c>
      <c r="B8" s="2">
        <v>800</v>
      </c>
      <c r="C8" s="2">
        <v>150</v>
      </c>
      <c r="D8" s="2">
        <v>420</v>
      </c>
      <c r="E8" s="2">
        <v>120</v>
      </c>
      <c r="F8" s="2">
        <v>100</v>
      </c>
      <c r="G8" s="2">
        <v>60</v>
      </c>
    </row>
    <row r="9" spans="1:7">
      <c r="A9" s="1" t="s">
        <v>17</v>
      </c>
      <c r="B9" s="2">
        <v>800</v>
      </c>
      <c r="C9" s="2">
        <v>150</v>
      </c>
      <c r="D9" s="2">
        <v>420</v>
      </c>
      <c r="E9" s="2">
        <v>100</v>
      </c>
      <c r="F9" s="2">
        <v>100</v>
      </c>
      <c r="G9" s="2">
        <v>80</v>
      </c>
    </row>
    <row r="10" spans="1:7">
      <c r="A10" s="1" t="s">
        <v>9</v>
      </c>
      <c r="B10" s="2">
        <v>800</v>
      </c>
      <c r="C10" s="2">
        <v>150</v>
      </c>
      <c r="D10" s="2">
        <v>400</v>
      </c>
      <c r="E10" s="2">
        <v>120</v>
      </c>
      <c r="F10" s="2">
        <v>110</v>
      </c>
      <c r="G10" s="2">
        <v>60</v>
      </c>
    </row>
    <row r="11" spans="1:7">
      <c r="A11" s="1" t="s">
        <v>11</v>
      </c>
      <c r="B11" s="2">
        <v>800</v>
      </c>
      <c r="C11" s="2">
        <v>170</v>
      </c>
      <c r="D11" s="2">
        <v>420</v>
      </c>
      <c r="E11" s="2">
        <v>100</v>
      </c>
      <c r="F11" s="2">
        <v>100</v>
      </c>
      <c r="G11" s="2">
        <v>60</v>
      </c>
    </row>
    <row r="12" spans="1:7">
      <c r="A12" s="1" t="s">
        <v>13</v>
      </c>
      <c r="B12" s="2">
        <v>800</v>
      </c>
      <c r="C12" s="2">
        <v>200</v>
      </c>
      <c r="D12" s="2">
        <v>390</v>
      </c>
      <c r="E12" s="2">
        <v>120</v>
      </c>
      <c r="F12" s="2">
        <v>100</v>
      </c>
      <c r="G12" s="2">
        <v>50</v>
      </c>
    </row>
    <row r="13" spans="1:7">
      <c r="A13" s="1" t="s">
        <v>18</v>
      </c>
      <c r="B13" s="2">
        <v>800</v>
      </c>
      <c r="C13" s="2">
        <v>220</v>
      </c>
      <c r="D13" s="2">
        <v>400</v>
      </c>
      <c r="E13" s="2">
        <v>100</v>
      </c>
      <c r="F13" s="2">
        <v>115</v>
      </c>
      <c r="G13" s="2">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6329-E634-41C1-8F08-C7BC3A05E31E}">
  <dimension ref="A1:M24"/>
  <sheetViews>
    <sheetView zoomScale="112" workbookViewId="0">
      <selection activeCell="P11" sqref="P11"/>
    </sheetView>
  </sheetViews>
  <sheetFormatPr defaultColWidth="8.77734375" defaultRowHeight="14.4"/>
  <cols>
    <col min="1" max="1" width="7.77734375" bestFit="1" customWidth="1"/>
    <col min="2" max="2" width="11.6640625" customWidth="1"/>
    <col min="3" max="3" width="14.21875" bestFit="1" customWidth="1"/>
    <col min="4" max="4" width="14.33203125" bestFit="1" customWidth="1"/>
    <col min="5" max="5" width="11.5546875" customWidth="1"/>
    <col min="6" max="6" width="14.5546875" bestFit="1" customWidth="1"/>
    <col min="7" max="7" width="15.88671875" bestFit="1" customWidth="1"/>
    <col min="8" max="8" width="15.88671875" customWidth="1"/>
    <col min="9" max="9" width="13.6640625" customWidth="1"/>
    <col min="10" max="10" width="10.44140625" customWidth="1"/>
    <col min="11" max="11" width="10" bestFit="1" customWidth="1"/>
    <col min="12" max="12" width="9.77734375" bestFit="1" customWidth="1"/>
    <col min="13" max="13" width="11.6640625" bestFit="1" customWidth="1"/>
  </cols>
  <sheetData>
    <row r="1" spans="1:13" ht="21.6" thickBot="1">
      <c r="A1" s="21" t="s">
        <v>30</v>
      </c>
      <c r="B1" s="20"/>
      <c r="C1" s="20"/>
      <c r="D1" s="20"/>
      <c r="E1" s="20"/>
      <c r="F1" s="20"/>
      <c r="G1" s="20"/>
      <c r="H1" s="20"/>
      <c r="I1" s="20"/>
      <c r="J1" s="20"/>
      <c r="K1" s="20"/>
      <c r="L1" s="20"/>
      <c r="M1" s="20"/>
    </row>
    <row r="2" spans="1:13" ht="29.4" thickBot="1">
      <c r="A2" s="14" t="s">
        <v>0</v>
      </c>
      <c r="B2" s="15" t="s">
        <v>1</v>
      </c>
      <c r="C2" s="15" t="s">
        <v>2</v>
      </c>
      <c r="D2" s="15" t="s">
        <v>3</v>
      </c>
      <c r="E2" s="15" t="s">
        <v>4</v>
      </c>
      <c r="F2" s="15" t="s">
        <v>29</v>
      </c>
      <c r="G2" s="28" t="s">
        <v>6</v>
      </c>
      <c r="H2" s="10" t="s">
        <v>19</v>
      </c>
      <c r="I2" s="31" t="s">
        <v>40</v>
      </c>
      <c r="K2" s="10" t="s">
        <v>25</v>
      </c>
      <c r="L2" s="10" t="s">
        <v>26</v>
      </c>
      <c r="M2" s="10" t="s">
        <v>19</v>
      </c>
    </row>
    <row r="3" spans="1:13" ht="15" thickTop="1">
      <c r="A3" s="16" t="s">
        <v>7</v>
      </c>
      <c r="B3" s="3">
        <v>800</v>
      </c>
      <c r="C3" s="3">
        <v>210</v>
      </c>
      <c r="D3" s="3">
        <v>400</v>
      </c>
      <c r="E3" s="3">
        <v>100</v>
      </c>
      <c r="F3" s="3">
        <v>100</v>
      </c>
      <c r="G3" s="4">
        <v>60</v>
      </c>
      <c r="H3" s="3">
        <f>SUM(B3:G3)</f>
        <v>1670</v>
      </c>
      <c r="I3" s="3" t="s">
        <v>41</v>
      </c>
      <c r="K3" s="3">
        <f>MAX(B3:G3)</f>
        <v>800</v>
      </c>
      <c r="L3" s="4">
        <f>MIN(B3:G3)</f>
        <v>60</v>
      </c>
      <c r="M3" s="3">
        <v>1670</v>
      </c>
    </row>
    <row r="4" spans="1:13">
      <c r="A4" s="17" t="s">
        <v>8</v>
      </c>
      <c r="B4" s="5">
        <v>800</v>
      </c>
      <c r="C4" s="5">
        <v>180</v>
      </c>
      <c r="D4" s="5">
        <v>350</v>
      </c>
      <c r="E4" s="5">
        <v>100</v>
      </c>
      <c r="F4" s="5">
        <v>125</v>
      </c>
      <c r="G4" s="6">
        <v>70</v>
      </c>
      <c r="H4" s="5">
        <f t="shared" ref="H4:H15" si="0">SUM(B4:G4)</f>
        <v>1625</v>
      </c>
      <c r="I4" s="5">
        <f>(H4-H3)/H3</f>
        <v>-2.6946107784431138E-2</v>
      </c>
      <c r="K4" s="5">
        <f t="shared" ref="K4:K14" si="1">MAX(B4:G4)</f>
        <v>800</v>
      </c>
      <c r="L4" s="6">
        <f t="shared" ref="L4:L14" si="2">MIN(B4:G4)</f>
        <v>70</v>
      </c>
      <c r="M4" s="5">
        <v>1625</v>
      </c>
    </row>
    <row r="5" spans="1:13">
      <c r="A5" s="16" t="s">
        <v>10</v>
      </c>
      <c r="B5" s="3">
        <v>800</v>
      </c>
      <c r="C5" s="3">
        <v>170</v>
      </c>
      <c r="D5" s="3">
        <v>420</v>
      </c>
      <c r="E5" s="3">
        <v>100</v>
      </c>
      <c r="F5" s="3">
        <v>120</v>
      </c>
      <c r="G5" s="4">
        <v>60</v>
      </c>
      <c r="H5" s="3">
        <f t="shared" si="0"/>
        <v>1670</v>
      </c>
      <c r="I5" s="3">
        <f t="shared" ref="I5:I14" si="3">(H5-H4)/H4</f>
        <v>2.7692307692307693E-2</v>
      </c>
      <c r="K5" s="3">
        <f t="shared" si="1"/>
        <v>800</v>
      </c>
      <c r="L5" s="4">
        <f t="shared" si="2"/>
        <v>60</v>
      </c>
      <c r="M5" s="3">
        <v>1670</v>
      </c>
    </row>
    <row r="6" spans="1:13">
      <c r="A6" s="17" t="s">
        <v>12</v>
      </c>
      <c r="B6" s="5">
        <v>800</v>
      </c>
      <c r="C6" s="5">
        <v>160</v>
      </c>
      <c r="D6" s="5">
        <v>400</v>
      </c>
      <c r="E6" s="5">
        <v>120</v>
      </c>
      <c r="F6" s="5">
        <v>100</v>
      </c>
      <c r="G6" s="6">
        <v>60</v>
      </c>
      <c r="H6" s="5">
        <f t="shared" si="0"/>
        <v>1640</v>
      </c>
      <c r="I6" s="5">
        <f t="shared" si="3"/>
        <v>-1.7964071856287425E-2</v>
      </c>
      <c r="K6" s="5">
        <f t="shared" si="1"/>
        <v>800</v>
      </c>
      <c r="L6" s="6">
        <f t="shared" si="2"/>
        <v>60</v>
      </c>
      <c r="M6" s="5">
        <v>1640</v>
      </c>
    </row>
    <row r="7" spans="1:13">
      <c r="A7" s="16" t="s">
        <v>14</v>
      </c>
      <c r="B7" s="3">
        <v>800</v>
      </c>
      <c r="C7" s="3">
        <v>150</v>
      </c>
      <c r="D7" s="3">
        <v>420</v>
      </c>
      <c r="E7" s="3">
        <v>100</v>
      </c>
      <c r="F7" s="3">
        <v>100</v>
      </c>
      <c r="G7" s="4">
        <v>80</v>
      </c>
      <c r="H7" s="3">
        <f t="shared" si="0"/>
        <v>1650</v>
      </c>
      <c r="I7" s="3">
        <f t="shared" si="3"/>
        <v>6.0975609756097563E-3</v>
      </c>
      <c r="K7" s="3">
        <f t="shared" si="1"/>
        <v>800</v>
      </c>
      <c r="L7" s="4">
        <f t="shared" si="2"/>
        <v>80</v>
      </c>
      <c r="M7" s="3">
        <v>1650</v>
      </c>
    </row>
    <row r="8" spans="1:13">
      <c r="A8" s="17" t="s">
        <v>15</v>
      </c>
      <c r="B8" s="5">
        <v>800</v>
      </c>
      <c r="C8" s="5">
        <v>150</v>
      </c>
      <c r="D8" s="5">
        <v>380</v>
      </c>
      <c r="E8" s="5">
        <v>100</v>
      </c>
      <c r="F8" s="5">
        <v>130</v>
      </c>
      <c r="G8" s="6">
        <v>60</v>
      </c>
      <c r="H8" s="5">
        <f t="shared" si="0"/>
        <v>1620</v>
      </c>
      <c r="I8" s="5">
        <f t="shared" si="3"/>
        <v>-1.8181818181818181E-2</v>
      </c>
      <c r="K8" s="5">
        <f t="shared" si="1"/>
        <v>800</v>
      </c>
      <c r="L8" s="6">
        <f t="shared" si="2"/>
        <v>60</v>
      </c>
      <c r="M8" s="5">
        <v>1620</v>
      </c>
    </row>
    <row r="9" spans="1:13">
      <c r="A9" s="16" t="s">
        <v>16</v>
      </c>
      <c r="B9" s="3">
        <v>800</v>
      </c>
      <c r="C9" s="3">
        <v>150</v>
      </c>
      <c r="D9" s="3">
        <v>420</v>
      </c>
      <c r="E9" s="3">
        <v>120</v>
      </c>
      <c r="F9" s="3">
        <v>100</v>
      </c>
      <c r="G9" s="4">
        <v>60</v>
      </c>
      <c r="H9" s="3">
        <f t="shared" si="0"/>
        <v>1650</v>
      </c>
      <c r="I9" s="3">
        <f t="shared" si="3"/>
        <v>1.8518518518518517E-2</v>
      </c>
      <c r="K9" s="3">
        <f t="shared" si="1"/>
        <v>800</v>
      </c>
      <c r="L9" s="4">
        <f t="shared" si="2"/>
        <v>60</v>
      </c>
      <c r="M9" s="3">
        <v>1650</v>
      </c>
    </row>
    <row r="10" spans="1:13">
      <c r="A10" s="17" t="s">
        <v>17</v>
      </c>
      <c r="B10" s="5">
        <v>800</v>
      </c>
      <c r="C10" s="5">
        <v>150</v>
      </c>
      <c r="D10" s="5">
        <v>420</v>
      </c>
      <c r="E10" s="5">
        <v>100</v>
      </c>
      <c r="F10" s="5">
        <v>100</v>
      </c>
      <c r="G10" s="6">
        <v>80</v>
      </c>
      <c r="H10" s="5">
        <f t="shared" si="0"/>
        <v>1650</v>
      </c>
      <c r="I10" s="5">
        <f t="shared" si="3"/>
        <v>0</v>
      </c>
      <c r="K10" s="5">
        <f t="shared" si="1"/>
        <v>800</v>
      </c>
      <c r="L10" s="6">
        <f t="shared" si="2"/>
        <v>80</v>
      </c>
      <c r="M10" s="5">
        <v>1650</v>
      </c>
    </row>
    <row r="11" spans="1:13">
      <c r="A11" s="16" t="s">
        <v>9</v>
      </c>
      <c r="B11" s="3">
        <v>800</v>
      </c>
      <c r="C11" s="3">
        <v>150</v>
      </c>
      <c r="D11" s="3">
        <v>400</v>
      </c>
      <c r="E11" s="3">
        <v>120</v>
      </c>
      <c r="F11" s="3">
        <v>110</v>
      </c>
      <c r="G11" s="4">
        <v>60</v>
      </c>
      <c r="H11" s="3">
        <f t="shared" si="0"/>
        <v>1640</v>
      </c>
      <c r="I11" s="3">
        <f t="shared" si="3"/>
        <v>-6.0606060606060606E-3</v>
      </c>
      <c r="K11" s="3">
        <f t="shared" si="1"/>
        <v>800</v>
      </c>
      <c r="L11" s="4">
        <f t="shared" si="2"/>
        <v>60</v>
      </c>
      <c r="M11" s="3">
        <v>1640</v>
      </c>
    </row>
    <row r="12" spans="1:13">
      <c r="A12" s="17" t="s">
        <v>11</v>
      </c>
      <c r="B12" s="5">
        <v>800</v>
      </c>
      <c r="C12" s="5">
        <v>170</v>
      </c>
      <c r="D12" s="5">
        <v>420</v>
      </c>
      <c r="E12" s="5">
        <v>100</v>
      </c>
      <c r="F12" s="5">
        <v>100</v>
      </c>
      <c r="G12" s="6">
        <v>60</v>
      </c>
      <c r="H12" s="5">
        <f t="shared" si="0"/>
        <v>1650</v>
      </c>
      <c r="I12" s="5">
        <f t="shared" si="3"/>
        <v>6.0975609756097563E-3</v>
      </c>
      <c r="K12" s="5">
        <f t="shared" si="1"/>
        <v>800</v>
      </c>
      <c r="L12" s="6">
        <f t="shared" si="2"/>
        <v>60</v>
      </c>
      <c r="M12" s="5">
        <v>1650</v>
      </c>
    </row>
    <row r="13" spans="1:13">
      <c r="A13" s="16" t="s">
        <v>13</v>
      </c>
      <c r="B13" s="3">
        <v>800</v>
      </c>
      <c r="C13" s="3">
        <v>200</v>
      </c>
      <c r="D13" s="3">
        <v>390</v>
      </c>
      <c r="E13" s="3">
        <v>120</v>
      </c>
      <c r="F13" s="3">
        <v>100</v>
      </c>
      <c r="G13" s="4">
        <v>50</v>
      </c>
      <c r="H13" s="3">
        <f t="shared" si="0"/>
        <v>1660</v>
      </c>
      <c r="I13" s="3">
        <f t="shared" si="3"/>
        <v>6.0606060606060606E-3</v>
      </c>
      <c r="K13" s="3">
        <f t="shared" si="1"/>
        <v>800</v>
      </c>
      <c r="L13" s="4">
        <f t="shared" si="2"/>
        <v>50</v>
      </c>
      <c r="M13" s="3">
        <v>1660</v>
      </c>
    </row>
    <row r="14" spans="1:13">
      <c r="A14" s="17" t="s">
        <v>18</v>
      </c>
      <c r="B14" s="5">
        <v>800</v>
      </c>
      <c r="C14" s="5">
        <v>220</v>
      </c>
      <c r="D14" s="5">
        <v>400</v>
      </c>
      <c r="E14" s="5">
        <v>100</v>
      </c>
      <c r="F14" s="5">
        <v>115</v>
      </c>
      <c r="G14" s="6">
        <v>60</v>
      </c>
      <c r="H14" s="3">
        <f t="shared" si="0"/>
        <v>1695</v>
      </c>
      <c r="I14" s="5">
        <f t="shared" si="3"/>
        <v>2.1084337349397589E-2</v>
      </c>
      <c r="K14" s="5">
        <f t="shared" si="1"/>
        <v>800</v>
      </c>
      <c r="L14" s="6">
        <f t="shared" si="2"/>
        <v>60</v>
      </c>
      <c r="M14" s="5">
        <v>1695</v>
      </c>
    </row>
    <row r="15" spans="1:13" ht="30" customHeight="1" thickBot="1">
      <c r="A15" s="18" t="s">
        <v>19</v>
      </c>
      <c r="B15" s="19">
        <f>SUM(B3:B14)</f>
        <v>9600</v>
      </c>
      <c r="C15" s="19">
        <f t="shared" ref="C15:G15" si="4">SUM(C3:C14)</f>
        <v>2060</v>
      </c>
      <c r="D15" s="19">
        <f t="shared" si="4"/>
        <v>4820</v>
      </c>
      <c r="E15" s="19">
        <f t="shared" si="4"/>
        <v>1280</v>
      </c>
      <c r="F15" s="19">
        <f t="shared" si="4"/>
        <v>1300</v>
      </c>
      <c r="G15" s="29">
        <f t="shared" si="4"/>
        <v>760</v>
      </c>
      <c r="H15" s="30">
        <f t="shared" si="0"/>
        <v>19820</v>
      </c>
      <c r="I15" s="32" t="s">
        <v>42</v>
      </c>
      <c r="K15" s="11" t="s">
        <v>27</v>
      </c>
      <c r="L15" s="12" t="s">
        <v>28</v>
      </c>
      <c r="M15" s="13">
        <f>SUM(M3:M14)</f>
        <v>19820</v>
      </c>
    </row>
    <row r="17" spans="1:9">
      <c r="A17" s="7" t="s">
        <v>20</v>
      </c>
      <c r="B17" s="8">
        <f>AVERAGE(B3:B14)</f>
        <v>800</v>
      </c>
      <c r="C17" s="8">
        <f t="shared" ref="C17:G17" si="5">AVERAGE(C3:C14)</f>
        <v>171.66666666666666</v>
      </c>
      <c r="D17" s="8">
        <f t="shared" si="5"/>
        <v>401.66666666666669</v>
      </c>
      <c r="E17" s="8">
        <f t="shared" si="5"/>
        <v>106.66666666666667</v>
      </c>
      <c r="F17" s="8">
        <f t="shared" si="5"/>
        <v>108.33333333333333</v>
      </c>
      <c r="G17" s="8">
        <f t="shared" si="5"/>
        <v>63.333333333333336</v>
      </c>
      <c r="H17" s="26"/>
      <c r="I17" s="26"/>
    </row>
    <row r="18" spans="1:9">
      <c r="A18" s="7" t="s">
        <v>21</v>
      </c>
      <c r="B18" s="8">
        <f>MIN(B3:B14)</f>
        <v>800</v>
      </c>
      <c r="C18" s="8">
        <f t="shared" ref="C18:G18" si="6">MIN(C3:C14)</f>
        <v>150</v>
      </c>
      <c r="D18" s="8">
        <f t="shared" si="6"/>
        <v>350</v>
      </c>
      <c r="E18" s="8">
        <f t="shared" si="6"/>
        <v>100</v>
      </c>
      <c r="F18" s="8">
        <f t="shared" si="6"/>
        <v>100</v>
      </c>
      <c r="G18" s="8">
        <f t="shared" si="6"/>
        <v>50</v>
      </c>
      <c r="H18" s="26"/>
      <c r="I18" s="26"/>
    </row>
    <row r="19" spans="1:9">
      <c r="A19" s="7" t="s">
        <v>22</v>
      </c>
      <c r="B19" s="8">
        <f>MAX(B3:B14)</f>
        <v>800</v>
      </c>
      <c r="C19" s="8">
        <f t="shared" ref="C19:G19" si="7">MAX(C3:C14)</f>
        <v>220</v>
      </c>
      <c r="D19" s="8">
        <f t="shared" si="7"/>
        <v>420</v>
      </c>
      <c r="E19" s="8">
        <f t="shared" si="7"/>
        <v>120</v>
      </c>
      <c r="F19" s="8">
        <f t="shared" si="7"/>
        <v>130</v>
      </c>
      <c r="G19" s="8">
        <f t="shared" si="7"/>
        <v>80</v>
      </c>
      <c r="H19" s="26"/>
      <c r="I19" s="26"/>
    </row>
    <row r="20" spans="1:9">
      <c r="A20" s="7" t="s">
        <v>23</v>
      </c>
      <c r="B20" s="9">
        <f>COUNT(B3:B14)</f>
        <v>12</v>
      </c>
      <c r="C20" s="9">
        <f t="shared" ref="C20:G20" si="8">COUNT(C3:C14)</f>
        <v>12</v>
      </c>
      <c r="D20" s="9">
        <f t="shared" si="8"/>
        <v>12</v>
      </c>
      <c r="E20" s="9">
        <f t="shared" si="8"/>
        <v>12</v>
      </c>
      <c r="F20" s="9">
        <f t="shared" si="8"/>
        <v>12</v>
      </c>
      <c r="G20" s="9">
        <f t="shared" si="8"/>
        <v>12</v>
      </c>
      <c r="H20" s="27"/>
      <c r="I20" s="27"/>
    </row>
    <row r="21" spans="1:9">
      <c r="A21" s="7" t="s">
        <v>24</v>
      </c>
      <c r="B21" s="8">
        <f>MEDIAN(B3:B14)</f>
        <v>800</v>
      </c>
      <c r="C21" s="8">
        <f t="shared" ref="C21:G21" si="9">MEDIAN(C3:C14)</f>
        <v>165</v>
      </c>
      <c r="D21" s="8">
        <f t="shared" si="9"/>
        <v>400</v>
      </c>
      <c r="E21" s="8">
        <f t="shared" si="9"/>
        <v>100</v>
      </c>
      <c r="F21" s="8">
        <f t="shared" si="9"/>
        <v>100</v>
      </c>
      <c r="G21" s="8">
        <f t="shared" si="9"/>
        <v>60</v>
      </c>
      <c r="H21" s="26"/>
      <c r="I21" s="26"/>
    </row>
    <row r="24" spans="1:9" ht="14.4" customHeight="1"/>
  </sheetData>
  <mergeCells count="1">
    <mergeCell ref="A1:M1"/>
  </mergeCells>
  <conditionalFormatting sqref="I3:I14">
    <cfRule type="cellIs" dxfId="0" priority="1" operator="lessThan">
      <formula>0</formula>
    </cfRule>
    <cfRule type="cellIs" priority="2"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8234B-4070-4C5E-B867-64D46FD4EF19}">
  <dimension ref="A1:N39"/>
  <sheetViews>
    <sheetView tabSelected="1" zoomScale="72" workbookViewId="0">
      <selection activeCell="S30" sqref="S30"/>
    </sheetView>
  </sheetViews>
  <sheetFormatPr defaultRowHeight="14.4"/>
  <cols>
    <col min="1" max="1" width="10.5546875" customWidth="1"/>
    <col min="2" max="2" width="21" customWidth="1"/>
    <col min="3" max="3" width="24.88671875" customWidth="1"/>
    <col min="4" max="4" width="13.88671875" bestFit="1" customWidth="1"/>
    <col min="5" max="5" width="11.6640625" bestFit="1" customWidth="1"/>
    <col min="6" max="6" width="15.6640625" bestFit="1" customWidth="1"/>
    <col min="7" max="8" width="11.88671875" bestFit="1" customWidth="1"/>
    <col min="9" max="9" width="15.6640625" bestFit="1" customWidth="1"/>
    <col min="10" max="10" width="21.109375" customWidth="1"/>
    <col min="14" max="14" width="10.33203125" customWidth="1"/>
  </cols>
  <sheetData>
    <row r="1" spans="1:14" ht="15" customHeight="1" thickBot="1">
      <c r="A1" s="14" t="s">
        <v>0</v>
      </c>
      <c r="B1" s="10" t="s">
        <v>19</v>
      </c>
      <c r="D1" s="22" t="s">
        <v>31</v>
      </c>
      <c r="E1" t="s">
        <v>37</v>
      </c>
      <c r="F1" t="s">
        <v>36</v>
      </c>
      <c r="G1" t="s">
        <v>35</v>
      </c>
      <c r="H1" t="s">
        <v>34</v>
      </c>
      <c r="I1" t="s">
        <v>5</v>
      </c>
      <c r="J1" t="s">
        <v>33</v>
      </c>
      <c r="L1" s="24" t="s">
        <v>38</v>
      </c>
      <c r="M1" s="24"/>
      <c r="N1" s="24"/>
    </row>
    <row r="2" spans="1:14" ht="15" thickTop="1">
      <c r="A2" s="16" t="s">
        <v>7</v>
      </c>
      <c r="B2" s="3">
        <v>1670</v>
      </c>
      <c r="D2" s="23" t="s">
        <v>7</v>
      </c>
      <c r="E2" s="2">
        <v>800</v>
      </c>
      <c r="F2" s="2">
        <v>400</v>
      </c>
      <c r="G2" s="2">
        <v>210</v>
      </c>
      <c r="H2" s="2">
        <v>100</v>
      </c>
      <c r="I2" s="2">
        <v>100</v>
      </c>
      <c r="J2" s="2">
        <v>60</v>
      </c>
      <c r="L2" s="24"/>
      <c r="M2" s="24"/>
      <c r="N2" s="24"/>
    </row>
    <row r="3" spans="1:14">
      <c r="A3" s="17" t="s">
        <v>8</v>
      </c>
      <c r="B3" s="5">
        <v>1625</v>
      </c>
      <c r="D3" s="23" t="s">
        <v>8</v>
      </c>
      <c r="E3" s="2">
        <v>800</v>
      </c>
      <c r="F3" s="2">
        <v>350</v>
      </c>
      <c r="G3" s="2">
        <v>180</v>
      </c>
      <c r="H3" s="2">
        <v>100</v>
      </c>
      <c r="I3" s="2">
        <v>125</v>
      </c>
      <c r="J3" s="2">
        <v>70</v>
      </c>
      <c r="L3" s="24"/>
      <c r="M3" s="24"/>
      <c r="N3" s="24"/>
    </row>
    <row r="4" spans="1:14">
      <c r="A4" s="16" t="s">
        <v>10</v>
      </c>
      <c r="B4" s="3">
        <v>1670</v>
      </c>
      <c r="D4" s="23" t="s">
        <v>10</v>
      </c>
      <c r="E4" s="2">
        <v>800</v>
      </c>
      <c r="F4" s="2">
        <v>420</v>
      </c>
      <c r="G4" s="2">
        <v>170</v>
      </c>
      <c r="H4" s="2">
        <v>100</v>
      </c>
      <c r="I4" s="2">
        <v>120</v>
      </c>
      <c r="J4" s="2">
        <v>60</v>
      </c>
      <c r="L4" s="24"/>
      <c r="M4" s="24"/>
      <c r="N4" s="24"/>
    </row>
    <row r="5" spans="1:14">
      <c r="A5" s="17" t="s">
        <v>12</v>
      </c>
      <c r="B5" s="5">
        <v>1640</v>
      </c>
      <c r="D5" s="23" t="s">
        <v>12</v>
      </c>
      <c r="E5" s="2">
        <v>800</v>
      </c>
      <c r="F5" s="2">
        <v>400</v>
      </c>
      <c r="G5" s="2">
        <v>160</v>
      </c>
      <c r="H5" s="2">
        <v>120</v>
      </c>
      <c r="I5" s="2">
        <v>100</v>
      </c>
      <c r="J5" s="2">
        <v>60</v>
      </c>
      <c r="L5" s="24"/>
      <c r="M5" s="24"/>
      <c r="N5" s="24"/>
    </row>
    <row r="6" spans="1:14">
      <c r="A6" s="16" t="s">
        <v>14</v>
      </c>
      <c r="B6" s="3">
        <v>1650</v>
      </c>
      <c r="D6" s="23" t="s">
        <v>14</v>
      </c>
      <c r="E6" s="2">
        <v>800</v>
      </c>
      <c r="F6" s="2">
        <v>420</v>
      </c>
      <c r="G6" s="2">
        <v>150</v>
      </c>
      <c r="H6" s="2">
        <v>100</v>
      </c>
      <c r="I6" s="2">
        <v>100</v>
      </c>
      <c r="J6" s="2">
        <v>80</v>
      </c>
      <c r="L6" s="24"/>
      <c r="M6" s="24"/>
      <c r="N6" s="24"/>
    </row>
    <row r="7" spans="1:14">
      <c r="A7" s="17" t="s">
        <v>15</v>
      </c>
      <c r="B7" s="5">
        <v>1620</v>
      </c>
      <c r="D7" s="23" t="s">
        <v>15</v>
      </c>
      <c r="E7" s="2">
        <v>800</v>
      </c>
      <c r="F7" s="2">
        <v>380</v>
      </c>
      <c r="G7" s="2">
        <v>150</v>
      </c>
      <c r="H7" s="2">
        <v>100</v>
      </c>
      <c r="I7" s="2">
        <v>130</v>
      </c>
      <c r="J7" s="2">
        <v>60</v>
      </c>
      <c r="L7" s="24"/>
      <c r="M7" s="24"/>
      <c r="N7" s="24"/>
    </row>
    <row r="8" spans="1:14">
      <c r="A8" s="16" t="s">
        <v>16</v>
      </c>
      <c r="B8" s="3">
        <v>1650</v>
      </c>
      <c r="D8" s="23" t="s">
        <v>16</v>
      </c>
      <c r="E8" s="2">
        <v>800</v>
      </c>
      <c r="F8" s="2">
        <v>420</v>
      </c>
      <c r="G8" s="2">
        <v>150</v>
      </c>
      <c r="H8" s="2">
        <v>120</v>
      </c>
      <c r="I8" s="2">
        <v>100</v>
      </c>
      <c r="J8" s="2">
        <v>60</v>
      </c>
      <c r="L8" s="24"/>
      <c r="M8" s="24"/>
      <c r="N8" s="24"/>
    </row>
    <row r="9" spans="1:14">
      <c r="A9" s="17" t="s">
        <v>17</v>
      </c>
      <c r="B9" s="5">
        <v>1650</v>
      </c>
      <c r="D9" s="23" t="s">
        <v>17</v>
      </c>
      <c r="E9" s="2">
        <v>800</v>
      </c>
      <c r="F9" s="2">
        <v>420</v>
      </c>
      <c r="G9" s="2">
        <v>150</v>
      </c>
      <c r="H9" s="2">
        <v>100</v>
      </c>
      <c r="I9" s="2">
        <v>100</v>
      </c>
      <c r="J9" s="2">
        <v>80</v>
      </c>
      <c r="L9" s="24"/>
      <c r="M9" s="24"/>
      <c r="N9" s="24"/>
    </row>
    <row r="10" spans="1:14">
      <c r="A10" s="16" t="s">
        <v>9</v>
      </c>
      <c r="B10" s="3">
        <v>1640</v>
      </c>
      <c r="D10" s="23" t="s">
        <v>9</v>
      </c>
      <c r="E10" s="2">
        <v>800</v>
      </c>
      <c r="F10" s="2">
        <v>400</v>
      </c>
      <c r="G10" s="2">
        <v>150</v>
      </c>
      <c r="H10" s="2">
        <v>120</v>
      </c>
      <c r="I10" s="2">
        <v>110</v>
      </c>
      <c r="J10" s="2">
        <v>60</v>
      </c>
      <c r="L10" s="24"/>
      <c r="M10" s="24"/>
      <c r="N10" s="24"/>
    </row>
    <row r="11" spans="1:14">
      <c r="A11" s="17" t="s">
        <v>11</v>
      </c>
      <c r="B11" s="5">
        <v>1650</v>
      </c>
      <c r="D11" s="23" t="s">
        <v>11</v>
      </c>
      <c r="E11" s="2">
        <v>800</v>
      </c>
      <c r="F11" s="2">
        <v>420</v>
      </c>
      <c r="G11" s="2">
        <v>170</v>
      </c>
      <c r="H11" s="2">
        <v>100</v>
      </c>
      <c r="I11" s="2">
        <v>100</v>
      </c>
      <c r="J11" s="2">
        <v>60</v>
      </c>
      <c r="L11" s="24"/>
      <c r="M11" s="24"/>
      <c r="N11" s="24"/>
    </row>
    <row r="12" spans="1:14">
      <c r="A12" s="16" t="s">
        <v>13</v>
      </c>
      <c r="B12" s="3">
        <v>1660</v>
      </c>
      <c r="D12" s="23" t="s">
        <v>13</v>
      </c>
      <c r="E12" s="2">
        <v>800</v>
      </c>
      <c r="F12" s="2">
        <v>390</v>
      </c>
      <c r="G12" s="2">
        <v>200</v>
      </c>
      <c r="H12" s="2">
        <v>120</v>
      </c>
      <c r="I12" s="2">
        <v>100</v>
      </c>
      <c r="J12" s="2">
        <v>50</v>
      </c>
      <c r="L12" s="24"/>
      <c r="M12" s="24"/>
      <c r="N12" s="24"/>
    </row>
    <row r="13" spans="1:14">
      <c r="A13" s="17" t="s">
        <v>18</v>
      </c>
      <c r="B13" s="5">
        <v>1695</v>
      </c>
      <c r="D13" s="23" t="s">
        <v>18</v>
      </c>
      <c r="E13" s="2">
        <v>800</v>
      </c>
      <c r="F13" s="2">
        <v>400</v>
      </c>
      <c r="G13" s="2">
        <v>220</v>
      </c>
      <c r="H13" s="2">
        <v>100</v>
      </c>
      <c r="I13" s="2">
        <v>115</v>
      </c>
      <c r="J13" s="2">
        <v>60</v>
      </c>
      <c r="L13" s="24"/>
      <c r="M13" s="24"/>
      <c r="N13" s="24"/>
    </row>
    <row r="14" spans="1:14">
      <c r="D14" s="23" t="s">
        <v>32</v>
      </c>
      <c r="E14" s="2">
        <v>9600</v>
      </c>
      <c r="F14" s="2">
        <v>4820</v>
      </c>
      <c r="G14" s="2">
        <v>2060</v>
      </c>
      <c r="H14" s="2">
        <v>1280</v>
      </c>
      <c r="I14" s="2">
        <v>1300</v>
      </c>
      <c r="J14" s="2">
        <v>760</v>
      </c>
      <c r="L14" s="24"/>
      <c r="M14" s="24"/>
      <c r="N14" s="24"/>
    </row>
    <row r="15" spans="1:14">
      <c r="L15" s="24"/>
      <c r="M15" s="24"/>
      <c r="N15" s="24"/>
    </row>
    <row r="16" spans="1:14">
      <c r="L16" s="24"/>
      <c r="M16" s="24"/>
      <c r="N16" s="24"/>
    </row>
    <row r="17" spans="12:14">
      <c r="L17" s="24"/>
      <c r="M17" s="24"/>
      <c r="N17" s="24"/>
    </row>
    <row r="18" spans="12:14">
      <c r="L18" s="24"/>
      <c r="M18" s="24"/>
      <c r="N18" s="24"/>
    </row>
    <row r="19" spans="12:14">
      <c r="L19" s="24"/>
      <c r="M19" s="24"/>
      <c r="N19" s="24"/>
    </row>
    <row r="20" spans="12:14">
      <c r="L20" s="24"/>
      <c r="M20" s="24"/>
      <c r="N20" s="24"/>
    </row>
    <row r="21" spans="12:14">
      <c r="L21" s="24"/>
      <c r="M21" s="24"/>
      <c r="N21" s="24"/>
    </row>
    <row r="22" spans="12:14">
      <c r="L22" s="24"/>
      <c r="M22" s="24"/>
      <c r="N22" s="24"/>
    </row>
    <row r="23" spans="12:14">
      <c r="L23" s="24"/>
      <c r="M23" s="24"/>
      <c r="N23" s="24"/>
    </row>
    <row r="24" spans="12:14">
      <c r="L24" s="24"/>
      <c r="M24" s="24"/>
      <c r="N24" s="24"/>
    </row>
    <row r="25" spans="12:14">
      <c r="L25" s="24"/>
      <c r="M25" s="24"/>
      <c r="N25" s="24"/>
    </row>
    <row r="26" spans="12:14">
      <c r="L26" s="24"/>
      <c r="M26" s="24"/>
      <c r="N26" s="24"/>
    </row>
    <row r="27" spans="12:14">
      <c r="L27" s="24"/>
      <c r="M27" s="24"/>
      <c r="N27" s="24"/>
    </row>
    <row r="28" spans="12:14">
      <c r="L28" s="24"/>
      <c r="M28" s="24"/>
      <c r="N28" s="24"/>
    </row>
    <row r="29" spans="12:14">
      <c r="L29" s="24"/>
      <c r="M29" s="24"/>
      <c r="N29" s="24"/>
    </row>
    <row r="30" spans="12:14" ht="15.6" customHeight="1">
      <c r="L30" s="25" t="s">
        <v>39</v>
      </c>
      <c r="M30" s="25"/>
      <c r="N30" s="25"/>
    </row>
    <row r="31" spans="12:14" ht="14.4" customHeight="1">
      <c r="L31" s="25"/>
      <c r="M31" s="25"/>
      <c r="N31" s="25"/>
    </row>
    <row r="32" spans="12:14" ht="14.4" customHeight="1">
      <c r="L32" s="25"/>
      <c r="M32" s="25"/>
      <c r="N32" s="25"/>
    </row>
    <row r="33" spans="12:14" ht="14.4" customHeight="1">
      <c r="L33" s="25"/>
      <c r="M33" s="25"/>
      <c r="N33" s="25"/>
    </row>
    <row r="34" spans="12:14" ht="14.4" customHeight="1">
      <c r="L34" s="25"/>
      <c r="M34" s="25"/>
      <c r="N34" s="25"/>
    </row>
    <row r="35" spans="12:14" ht="14.4" customHeight="1">
      <c r="L35" s="25"/>
      <c r="M35" s="25"/>
      <c r="N35" s="25"/>
    </row>
    <row r="36" spans="12:14" ht="14.4" customHeight="1">
      <c r="L36" s="25"/>
      <c r="M36" s="25"/>
      <c r="N36" s="25"/>
    </row>
    <row r="37" spans="12:14" ht="14.4" customHeight="1">
      <c r="L37" s="25"/>
      <c r="M37" s="25"/>
      <c r="N37" s="25"/>
    </row>
    <row r="38" spans="12:14" ht="8.4" customHeight="1">
      <c r="L38" s="25"/>
      <c r="M38" s="25"/>
      <c r="N38" s="25"/>
    </row>
    <row r="39" spans="12:14" ht="8.4" customHeight="1">
      <c r="L39" s="25"/>
      <c r="M39" s="25"/>
      <c r="N39" s="25"/>
    </row>
  </sheetData>
  <mergeCells count="2">
    <mergeCell ref="L1:N29"/>
    <mergeCell ref="L30:N39"/>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 - 2018</vt:lpstr>
      <vt:lpstr>ANALYSIS</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dimple singla</cp:lastModifiedBy>
  <cp:revision/>
  <dcterms:created xsi:type="dcterms:W3CDTF">2020-06-01T10:09:08Z</dcterms:created>
  <dcterms:modified xsi:type="dcterms:W3CDTF">2026-06-25T12:07:21Z</dcterms:modified>
  <cp:category/>
  <cp:contentStatus/>
</cp:coreProperties>
</file>